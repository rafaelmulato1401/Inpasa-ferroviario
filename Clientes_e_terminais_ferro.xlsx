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pasabr-my.sharepoint.com/personal/rafael_mulato_inpasa_com_br/Documents/Área de Trabalho/"/>
    </mc:Choice>
  </mc:AlternateContent>
  <xr:revisionPtr revIDLastSave="2" documentId="8_{FA482A2E-0CF2-400C-B82D-C90B0196B648}" xr6:coauthVersionLast="47" xr6:coauthVersionMax="47" xr10:uidLastSave="{0C7645E1-8DED-449C-8FE0-D9C2C3162FB8}"/>
  <bookViews>
    <workbookView xWindow="3348" yWindow="3348" windowWidth="17280" windowHeight="8880" activeTab="1" xr2:uid="{CAE94A6E-1EB1-43B9-BB63-F1BF1B85B8DA}"/>
  </bookViews>
  <sheets>
    <sheet name="Cliente" sheetId="1" r:id="rId1"/>
    <sheet name="Local de Entreg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</calcChain>
</file>

<file path=xl/sharedStrings.xml><?xml version="1.0" encoding="utf-8"?>
<sst xmlns="http://schemas.openxmlformats.org/spreadsheetml/2006/main" count="63" uniqueCount="52">
  <si>
    <t>cod inpasa</t>
  </si>
  <si>
    <t>CNPJ Destinatario</t>
  </si>
  <si>
    <t>NOME</t>
  </si>
  <si>
    <t>23314594001697</t>
  </si>
  <si>
    <t>ALE COMBUSTIVEIS</t>
  </si>
  <si>
    <t>20058453000186</t>
  </si>
  <si>
    <t>CANEX BIOENERGIA</t>
  </si>
  <si>
    <t>58823121000113</t>
  </si>
  <si>
    <t>DUVALE</t>
  </si>
  <si>
    <t>45335934000112</t>
  </si>
  <si>
    <t>EVOLUA ETANOL</t>
  </si>
  <si>
    <t>33337122005358</t>
  </si>
  <si>
    <t>IPIRANGA PAULINIA</t>
  </si>
  <si>
    <t>09584935000722</t>
  </si>
  <si>
    <t>LOGUM DUQUE DE CAXIAS</t>
  </si>
  <si>
    <t>09584935001370</t>
  </si>
  <si>
    <t>LOGUM GUARULHOS</t>
  </si>
  <si>
    <t>09584935000480</t>
  </si>
  <si>
    <t>LOGUM LOGISTICA</t>
  </si>
  <si>
    <t>09584935001451</t>
  </si>
  <si>
    <t>NÃO UTILIZAR LOGUM PAULINIA</t>
  </si>
  <si>
    <t>28978543000105</t>
  </si>
  <si>
    <t>OPLA LOGISTICA</t>
  </si>
  <si>
    <t>09538989000409</t>
  </si>
  <si>
    <t>RAÍZEN CAARAPO</t>
  </si>
  <si>
    <t>52189420000161</t>
  </si>
  <si>
    <t>RAÍZEN PARAGUACU</t>
  </si>
  <si>
    <t>33453598016631</t>
  </si>
  <si>
    <t>RAÍZEN PAULINIA</t>
  </si>
  <si>
    <t>97471676001410</t>
  </si>
  <si>
    <t>SAARA</t>
  </si>
  <si>
    <t>09361622000110</t>
  </si>
  <si>
    <t>TERCOM</t>
  </si>
  <si>
    <t>34274233006569</t>
  </si>
  <si>
    <t>VIBRA ENERGIA</t>
  </si>
  <si>
    <t>30474838000269</t>
  </si>
  <si>
    <t>ALL DISTRIBUIDORA DE COMBUSTIVEIS EIRELI</t>
  </si>
  <si>
    <t>48189644000104</t>
  </si>
  <si>
    <t>ALCALE COMERCIALIZADORA DE ETANOL E ACUCAR LTDA</t>
  </si>
  <si>
    <t>44248274000412</t>
  </si>
  <si>
    <t>INTEGRAÇÃO COMBUSTIVEIS LTDA</t>
  </si>
  <si>
    <t>08070508012184</t>
  </si>
  <si>
    <t>RAIZEN PIRACICABA</t>
  </si>
  <si>
    <t>Nome Inpasa</t>
  </si>
  <si>
    <t>CNPJ Recebedor</t>
  </si>
  <si>
    <t>IPIRANGA PRODUTOS DE PETROLEO S.A.</t>
  </si>
  <si>
    <t>LOGUM LOGISTICA SA</t>
  </si>
  <si>
    <t>TERMINAL DE COMBUSTIVEIS PAULINIA S.A</t>
  </si>
  <si>
    <t>RAIZEN S.A.</t>
  </si>
  <si>
    <t>TERCOM-TERMINAL DE ARMAZENAGEM DE COMBUSTIVEIS LTDA</t>
  </si>
  <si>
    <t>cod Cliente</t>
  </si>
  <si>
    <t>cod Local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</si>
</sst>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49" fontId="0" fillId="2" borderId="0" xfId="0" applyNumberForma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ECD1-4901-47D9-BFB2-3840CFAF64E9}">
  <dimension ref="A1:D21"/>
  <sheetViews>
    <sheetView workbookViewId="0">
      <selection activeCell="E1" sqref="E1"/>
    </sheetView>
  </sheetViews>
  <sheetFormatPr defaultRowHeight="14.4" x14ac:dyDescent="0.3"/>
  <cols>
    <col min="1" max="1" width="10" bestFit="1" customWidth="1"/>
    <col min="2" max="2" width="16" bestFit="1" customWidth="1"/>
    <col min="3" max="3" width="48.109375" bestFit="1" customWidth="1"/>
    <col min="4" max="4" width="63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50</v>
      </c>
    </row>
    <row r="2" spans="1:4" x14ac:dyDescent="0.3">
      <c r="A2" s="2">
        <v>7244</v>
      </c>
      <c r="B2" s="2" t="s">
        <v>3</v>
      </c>
      <c r="C2" s="2" t="s">
        <v>4</v>
      </c>
      <c r="D2" s="2" t="str">
        <f t="shared" ref="D2:D21" si="0">CONCATENATE(C2," - ",B2)</f>
        <v>ALE COMBUSTIVEIS - 23314594001697</v>
      </c>
    </row>
    <row r="3" spans="1:4" x14ac:dyDescent="0.3">
      <c r="A3" s="2">
        <v>6087</v>
      </c>
      <c r="B3" s="2" t="s">
        <v>5</v>
      </c>
      <c r="C3" s="2" t="s">
        <v>6</v>
      </c>
      <c r="D3" s="2" t="str">
        <f t="shared" si="0"/>
        <v>CANEX BIOENERGIA - 20058453000186</v>
      </c>
    </row>
    <row r="4" spans="1:4" x14ac:dyDescent="0.3">
      <c r="A4" s="2">
        <v>7488</v>
      </c>
      <c r="B4" s="2" t="s">
        <v>7</v>
      </c>
      <c r="C4" s="2" t="s">
        <v>8</v>
      </c>
      <c r="D4" s="2" t="str">
        <f t="shared" si="0"/>
        <v>DUVALE - 58823121000113</v>
      </c>
    </row>
    <row r="5" spans="1:4" x14ac:dyDescent="0.3">
      <c r="A5" s="2">
        <v>23806</v>
      </c>
      <c r="B5" s="2" t="s">
        <v>9</v>
      </c>
      <c r="C5" s="2" t="s">
        <v>10</v>
      </c>
      <c r="D5" s="2" t="str">
        <f t="shared" si="0"/>
        <v>EVOLUA ETANOL - 45335934000112</v>
      </c>
    </row>
    <row r="6" spans="1:4" x14ac:dyDescent="0.3">
      <c r="A6" s="2">
        <v>11889</v>
      </c>
      <c r="B6" s="2" t="s">
        <v>11</v>
      </c>
      <c r="C6" s="2" t="s">
        <v>12</v>
      </c>
      <c r="D6" s="2" t="str">
        <f t="shared" si="0"/>
        <v>IPIRANGA PAULINIA - 33337122005358</v>
      </c>
    </row>
    <row r="7" spans="1:4" x14ac:dyDescent="0.3">
      <c r="A7" s="2">
        <v>11928</v>
      </c>
      <c r="B7" s="2" t="s">
        <v>13</v>
      </c>
      <c r="C7" s="2" t="s">
        <v>14</v>
      </c>
      <c r="D7" s="2" t="str">
        <f t="shared" si="0"/>
        <v>LOGUM DUQUE DE CAXIAS - 09584935000722</v>
      </c>
    </row>
    <row r="8" spans="1:4" x14ac:dyDescent="0.3">
      <c r="A8" s="2">
        <v>12732</v>
      </c>
      <c r="B8" s="2" t="s">
        <v>15</v>
      </c>
      <c r="C8" s="2" t="s">
        <v>16</v>
      </c>
      <c r="D8" s="2" t="str">
        <f t="shared" si="0"/>
        <v>LOGUM GUARULHOS - 09584935001370</v>
      </c>
    </row>
    <row r="9" spans="1:4" x14ac:dyDescent="0.3">
      <c r="A9" s="2">
        <v>11966</v>
      </c>
      <c r="B9" s="2" t="s">
        <v>17</v>
      </c>
      <c r="C9" s="2" t="s">
        <v>18</v>
      </c>
      <c r="D9" s="2" t="str">
        <f t="shared" si="0"/>
        <v>LOGUM LOGISTICA - 09584935000480</v>
      </c>
    </row>
    <row r="10" spans="1:4" x14ac:dyDescent="0.3">
      <c r="A10" s="2">
        <v>6056</v>
      </c>
      <c r="B10" s="2" t="s">
        <v>19</v>
      </c>
      <c r="C10" s="2" t="s">
        <v>20</v>
      </c>
      <c r="D10" s="2" t="str">
        <f t="shared" si="0"/>
        <v>NÃO UTILIZAR LOGUM PAULINIA - 09584935001451</v>
      </c>
    </row>
    <row r="11" spans="1:4" x14ac:dyDescent="0.3">
      <c r="A11" s="2">
        <v>7605</v>
      </c>
      <c r="B11" s="2" t="s">
        <v>21</v>
      </c>
      <c r="C11" s="2" t="s">
        <v>22</v>
      </c>
      <c r="D11" s="2" t="str">
        <f t="shared" si="0"/>
        <v>OPLA LOGISTICA - 28978543000105</v>
      </c>
    </row>
    <row r="12" spans="1:4" x14ac:dyDescent="0.3">
      <c r="A12" s="2">
        <v>14054</v>
      </c>
      <c r="B12" s="2" t="s">
        <v>23</v>
      </c>
      <c r="C12" s="2" t="s">
        <v>24</v>
      </c>
      <c r="D12" s="2" t="str">
        <f t="shared" si="0"/>
        <v>RAÍZEN CAARAPO - 09538989000409</v>
      </c>
    </row>
    <row r="13" spans="1:4" x14ac:dyDescent="0.3">
      <c r="A13" s="2">
        <v>5938</v>
      </c>
      <c r="B13" s="2" t="s">
        <v>25</v>
      </c>
      <c r="C13" s="2" t="s">
        <v>26</v>
      </c>
      <c r="D13" s="2" t="str">
        <f t="shared" si="0"/>
        <v>RAÍZEN PARAGUACU - 52189420000161</v>
      </c>
    </row>
    <row r="14" spans="1:4" x14ac:dyDescent="0.3">
      <c r="A14" s="2">
        <v>3746</v>
      </c>
      <c r="B14" s="2" t="s">
        <v>27</v>
      </c>
      <c r="C14" s="2" t="s">
        <v>28</v>
      </c>
      <c r="D14" s="2" t="str">
        <f t="shared" si="0"/>
        <v>RAÍZEN PAULINIA - 33453598016631</v>
      </c>
    </row>
    <row r="15" spans="1:4" x14ac:dyDescent="0.3">
      <c r="A15" s="2">
        <v>11067</v>
      </c>
      <c r="B15" s="2" t="s">
        <v>29</v>
      </c>
      <c r="C15" s="2" t="s">
        <v>30</v>
      </c>
      <c r="D15" s="2" t="str">
        <f t="shared" si="0"/>
        <v>SAARA - 97471676001410</v>
      </c>
    </row>
    <row r="16" spans="1:4" x14ac:dyDescent="0.3">
      <c r="A16" s="2">
        <v>3492</v>
      </c>
      <c r="B16" s="2" t="s">
        <v>31</v>
      </c>
      <c r="C16" s="2" t="s">
        <v>32</v>
      </c>
      <c r="D16" s="2" t="str">
        <f t="shared" si="0"/>
        <v>TERCOM - 09361622000110</v>
      </c>
    </row>
    <row r="17" spans="1:4" x14ac:dyDescent="0.3">
      <c r="A17" s="2">
        <v>7053</v>
      </c>
      <c r="B17" s="2" t="s">
        <v>33</v>
      </c>
      <c r="C17" s="2" t="s">
        <v>34</v>
      </c>
      <c r="D17" s="2" t="str">
        <f t="shared" si="0"/>
        <v>VIBRA ENERGIA - 34274233006569</v>
      </c>
    </row>
    <row r="18" spans="1:4" x14ac:dyDescent="0.3">
      <c r="A18" s="2">
        <v>10003</v>
      </c>
      <c r="B18" s="3" t="s">
        <v>35</v>
      </c>
      <c r="C18" s="2" t="s">
        <v>36</v>
      </c>
      <c r="D18" s="2" t="str">
        <f t="shared" si="0"/>
        <v>ALL DISTRIBUIDORA DE COMBUSTIVEIS EIRELI - 30474838000269</v>
      </c>
    </row>
    <row r="19" spans="1:4" x14ac:dyDescent="0.3">
      <c r="A19" s="2">
        <v>27646</v>
      </c>
      <c r="B19" s="3" t="s">
        <v>37</v>
      </c>
      <c r="C19" s="2" t="s">
        <v>38</v>
      </c>
      <c r="D19" s="2" t="str">
        <f t="shared" si="0"/>
        <v>ALCALE COMERCIALIZADORA DE ETANOL E ACUCAR LTDA - 48189644000104</v>
      </c>
    </row>
    <row r="20" spans="1:4" x14ac:dyDescent="0.3">
      <c r="A20" s="2">
        <v>17877</v>
      </c>
      <c r="B20" s="3" t="s">
        <v>39</v>
      </c>
      <c r="C20" s="2" t="s">
        <v>40</v>
      </c>
      <c r="D20" s="2" t="str">
        <f t="shared" si="0"/>
        <v>INTEGRAÇÃO COMBUSTIVEIS LTDA - 44248274000412</v>
      </c>
    </row>
    <row r="21" spans="1:4" x14ac:dyDescent="0.3">
      <c r="A21" s="2">
        <v>29091</v>
      </c>
      <c r="B21" s="3" t="s">
        <v>41</v>
      </c>
      <c r="C21" s="2" t="s">
        <v>42</v>
      </c>
      <c r="D21" s="2" t="str">
        <f t="shared" si="0"/>
        <v>RAIZEN PIRACICABA - 08070508012184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1EF7-BDD3-4EC0-BDC8-D2EBCB81F274}">
  <dimension ref="A1:D6"/>
  <sheetViews>
    <sheetView tabSelected="1" workbookViewId="0">
      <selection activeCell="D2" sqref="D2"/>
    </sheetView>
  </sheetViews>
  <sheetFormatPr defaultRowHeight="14.4" x14ac:dyDescent="0.3"/>
  <cols>
    <col min="1" max="1" width="53.33203125" bestFit="1" customWidth="1"/>
    <col min="2" max="2" width="15.109375" bestFit="1" customWidth="1"/>
    <col min="3" max="3" width="17.21875" bestFit="1" customWidth="1"/>
    <col min="4" max="4" width="32.88671875" bestFit="1" customWidth="1"/>
  </cols>
  <sheetData>
    <row r="1" spans="1:4" x14ac:dyDescent="0.3">
      <c r="A1" s="4" t="s">
        <v>43</v>
      </c>
      <c r="B1" s="4" t="s">
        <v>44</v>
      </c>
      <c r="C1" s="4" t="s">
        <v>2</v>
      </c>
      <c r="D1" s="4" t="s">
        <v>51</v>
      </c>
    </row>
    <row r="2" spans="1:4" x14ac:dyDescent="0.3">
      <c r="A2" s="5" t="s">
        <v>45</v>
      </c>
      <c r="B2" s="5" t="s">
        <v>11</v>
      </c>
      <c r="C2" s="5" t="s">
        <v>12</v>
      </c>
      <c r="D2" s="5" t="str">
        <f>CONCATENATE(C2," - ",B2)</f>
        <v>IPIRANGA PAULINIA - 33337122005358</v>
      </c>
    </row>
    <row r="3" spans="1:4" x14ac:dyDescent="0.3">
      <c r="A3" s="5" t="s">
        <v>46</v>
      </c>
      <c r="B3" s="5" t="s">
        <v>17</v>
      </c>
      <c r="C3" s="5" t="s">
        <v>18</v>
      </c>
      <c r="D3" s="5" t="str">
        <f>CONCATENATE(C3," - ",B3)</f>
        <v>LOGUM LOGISTICA - 09584935000480</v>
      </c>
    </row>
    <row r="4" spans="1:4" x14ac:dyDescent="0.3">
      <c r="A4" s="5" t="s">
        <v>47</v>
      </c>
      <c r="B4" s="5" t="s">
        <v>21</v>
      </c>
      <c r="C4" s="5" t="s">
        <v>22</v>
      </c>
      <c r="D4" s="5" t="str">
        <f>CONCATENATE(C4," - ",B4)</f>
        <v>OPLA LOGISTICA - 28978543000105</v>
      </c>
    </row>
    <row r="5" spans="1:4" x14ac:dyDescent="0.3">
      <c r="A5" s="5" t="s">
        <v>48</v>
      </c>
      <c r="B5" s="5" t="s">
        <v>27</v>
      </c>
      <c r="C5" s="5" t="s">
        <v>28</v>
      </c>
      <c r="D5" s="5" t="str">
        <f>CONCATENATE(C5," - ",B5)</f>
        <v>RAÍZEN PAULINIA - 33453598016631</v>
      </c>
    </row>
    <row r="6" spans="1:4" x14ac:dyDescent="0.3">
      <c r="A6" s="5" t="s">
        <v>49</v>
      </c>
      <c r="B6" s="5" t="s">
        <v>31</v>
      </c>
      <c r="C6" s="5" t="s">
        <v>32</v>
      </c>
      <c r="D6" s="5" t="str">
        <f>CONCATENATE(C6," - ",B6)</f>
        <v>TERCOM - 09361622000110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</vt:lpstr>
      <vt:lpstr>Local de Entrega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De Moraes Mulato</dc:creator>
  <cp:lastModifiedBy>Rafael De Moraes Mulato</cp:lastModifiedBy>
  <dcterms:created xsi:type="dcterms:W3CDTF">2026-05-02T20:42:45Z</dcterms:created>
  <dcterms:modified xsi:type="dcterms:W3CDTF">2026-05-02T20:45:25Z</dcterms:modified>
</cp:coreProperties>
</file>